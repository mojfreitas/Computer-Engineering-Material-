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n\Documents\Faculdade\3o Ano\2o Semestre\CE\TP_2024\"/>
    </mc:Choice>
  </mc:AlternateContent>
  <xr:revisionPtr revIDLastSave="0" documentId="13_ncr:1_{B3BB61AD-B494-4C2E-9644-B628F4731EE0}" xr6:coauthVersionLast="47" xr6:coauthVersionMax="47" xr10:uidLastSave="{00000000-0000-0000-0000-000000000000}"/>
  <bookViews>
    <workbookView xWindow="-120" yWindow="-120" windowWidth="29040" windowHeight="15840" xr2:uid="{FD45E452-5249-8947-9CC1-E9DFB274C0B1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9" i="1"/>
  <c r="F10" i="1"/>
  <c r="F11" i="1"/>
  <c r="F20" i="1" s="1"/>
  <c r="F12" i="1"/>
  <c r="F13" i="1"/>
  <c r="F14" i="1"/>
  <c r="F15" i="1"/>
  <c r="F16" i="1"/>
  <c r="F17" i="1"/>
  <c r="F18" i="1"/>
  <c r="F19" i="1"/>
  <c r="F3" i="1"/>
  <c r="H19" i="1" l="1"/>
  <c r="H7" i="1"/>
</calcChain>
</file>

<file path=xl/sharedStrings.xml><?xml version="1.0" encoding="utf-8"?>
<sst xmlns="http://schemas.openxmlformats.org/spreadsheetml/2006/main" count="60" uniqueCount="42">
  <si>
    <t>Nome Equipamento</t>
  </si>
  <si>
    <t>Tipo</t>
  </si>
  <si>
    <t>Router CD</t>
  </si>
  <si>
    <t>Switch FD</t>
  </si>
  <si>
    <t>Equipamento Ativo</t>
  </si>
  <si>
    <t>Total €</t>
  </si>
  <si>
    <t>Preço Singular €</t>
  </si>
  <si>
    <t>€</t>
  </si>
  <si>
    <t>Total Ativos</t>
  </si>
  <si>
    <t>AP</t>
  </si>
  <si>
    <t>TO</t>
  </si>
  <si>
    <t>UBIQUITI NETWORKS UniFi nanoHD</t>
  </si>
  <si>
    <t>Cabo Cat.6a</t>
  </si>
  <si>
    <t>Quantidade/Metro</t>
  </si>
  <si>
    <t>Conector RJ45</t>
  </si>
  <si>
    <t>Bastidor</t>
  </si>
  <si>
    <t>Patch Panel 24</t>
  </si>
  <si>
    <t>Patch Panel 48</t>
  </si>
  <si>
    <t>Tomada</t>
  </si>
  <si>
    <t>Transceiver</t>
  </si>
  <si>
    <t>Cisco 1000BaseT GBIC</t>
  </si>
  <si>
    <t>Cabo OM3 fibra</t>
  </si>
  <si>
    <t>Telefone IP</t>
  </si>
  <si>
    <t>GRANDSTREAM - Telefone IP GXP-1610</t>
  </si>
  <si>
    <t>Conector Fibra</t>
  </si>
  <si>
    <t>Fibra Óptica Conector SC/APC monomodo 3.0 milímetros</t>
  </si>
  <si>
    <t>UPS</t>
  </si>
  <si>
    <t>Equipamento Passivo</t>
  </si>
  <si>
    <t>Total Passivos</t>
  </si>
  <si>
    <t>EATON - Ups ONLINE 9E 6000I 6000VA / 4800W TOWER</t>
  </si>
  <si>
    <t>Ubiquiti Networks UniFi USW-PRO-48</t>
  </si>
  <si>
    <t>Cisco Roteador ISR4431</t>
  </si>
  <si>
    <t>C2G Cabo Fibra Óptica Lc (m) / Lc (m) 50m - 85558</t>
  </si>
  <si>
    <t>Tomada de 8 Entradas com Interruptor e Protecção</t>
  </si>
  <si>
    <t xml:space="preserve">Schneider Electric Tomada Dupla de Rede Rj45 Cat 6 Utp 
</t>
  </si>
  <si>
    <t xml:space="preserve">121143 - EQUIP - FICHAS RJ45 CAT6 (SACO 100)
</t>
  </si>
  <si>
    <t>Rack Servidor HP 10642 G2 42U 19″</t>
  </si>
  <si>
    <t xml:space="preserve">Equip Patch Panel 19" Cat6 Utp 24p 1u Preto Basic
</t>
  </si>
  <si>
    <t>TRENDnet Patchpanel 48-port Cat6 unshielded 19´´</t>
  </si>
  <si>
    <t>Switch BD</t>
  </si>
  <si>
    <t>CISCO C9500-NM-8X= MÓDULO DE COMUTAÇÃO DE REDE 10 GIGABIT ETHERNET</t>
  </si>
  <si>
    <t>CABO DE REDE S/FTP CAT6 RJ45 GOOBAY 100M 57195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</si>
</sst>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4" x14ac:knownFonts="1">
    <font>
      <sz val="12"/>
      <color theme="1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5" borderId="1" xfId="0" applyFill="1" applyBorder="1"/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center"/>
    </xf>
    <xf numFmtId="8" fontId="0" fillId="0" borderId="1" xfId="0" applyNumberFormat="1" applyBorder="1"/>
    <xf numFmtId="0" fontId="1" fillId="0" borderId="0" xfId="0" applyFont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1" xfId="0" applyFont="1" applyBorder="1" applyAlignment="1">
      <alignment horizontal="center"/>
    </xf>
    <xf numFmtId="0" fontId="0" fillId="5" borderId="1" xfId="0" applyFont="1" applyFill="1" applyBorder="1"/>
    <xf numFmtId="0" fontId="2" fillId="0" borderId="0" xfId="0" applyFont="1" applyAlignment="1">
      <alignment horizontal="center" vertical="center" wrapText="1"/>
    </xf>
    <xf numFmtId="0" fontId="1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46A1-EA1E-5A48-BB18-97D9DE62E113}">
  <dimension ref="A2:J20"/>
  <sheetViews>
    <sheetView tabSelected="1" zoomScaleNormal="100" workbookViewId="0">
      <selection activeCell="L12" sqref="L12"/>
    </sheetView>
  </sheetViews>
  <sheetFormatPr defaultColWidth="11" defaultRowHeight="15.75" x14ac:dyDescent="0.25"/>
  <cols>
    <col min="1" max="1" width="25" customWidth="1"/>
    <col min="2" max="2" width="19.375" customWidth="1"/>
    <col min="3" max="3" width="69.625" customWidth="1"/>
    <col min="4" max="4" width="16.625" bestFit="1" customWidth="1"/>
    <col min="5" max="5" width="19.625" customWidth="1"/>
    <col min="6" max="6" width="19.5" customWidth="1"/>
    <col min="8" max="8" width="14.375" customWidth="1"/>
  </cols>
  <sheetData>
    <row r="2" spans="1:10" x14ac:dyDescent="0.25">
      <c r="A2" s="1"/>
      <c r="B2" s="5" t="s">
        <v>1</v>
      </c>
      <c r="C2" s="5" t="s">
        <v>0</v>
      </c>
      <c r="D2" s="5" t="s">
        <v>13</v>
      </c>
      <c r="E2" s="5" t="s">
        <v>6</v>
      </c>
      <c r="F2" s="5" t="s">
        <v>5</v>
      </c>
      <c r="G2" s="1"/>
      <c r="H2" s="1"/>
    </row>
    <row r="3" spans="1:10" x14ac:dyDescent="0.25">
      <c r="A3" s="9" t="s">
        <v>4</v>
      </c>
      <c r="B3" s="1" t="s">
        <v>2</v>
      </c>
      <c r="C3" s="1" t="s">
        <v>31</v>
      </c>
      <c r="D3" s="2">
        <v>1</v>
      </c>
      <c r="E3" s="12">
        <v>5605.49</v>
      </c>
      <c r="F3" s="1">
        <f>(E3*D3)</f>
        <v>5605.49</v>
      </c>
      <c r="G3" s="1" t="s">
        <v>7</v>
      </c>
      <c r="H3" s="1"/>
      <c r="I3" s="7"/>
      <c r="J3" s="15"/>
    </row>
    <row r="4" spans="1:10" x14ac:dyDescent="0.25">
      <c r="A4" s="9"/>
      <c r="B4" s="1" t="s">
        <v>3</v>
      </c>
      <c r="C4" s="6" t="s">
        <v>30</v>
      </c>
      <c r="D4" s="2">
        <v>2</v>
      </c>
      <c r="E4" s="12">
        <v>705.72</v>
      </c>
      <c r="F4" s="1">
        <f t="shared" ref="F4:F7" si="0">(E4*D4)</f>
        <v>1411.44</v>
      </c>
      <c r="G4" s="1" t="s">
        <v>7</v>
      </c>
      <c r="H4" s="2" t="s">
        <v>8</v>
      </c>
      <c r="I4" s="7"/>
      <c r="J4" s="15"/>
    </row>
    <row r="5" spans="1:10" x14ac:dyDescent="0.25">
      <c r="A5" s="9"/>
      <c r="B5" s="1" t="s">
        <v>39</v>
      </c>
      <c r="C5" s="11" t="s">
        <v>40</v>
      </c>
      <c r="D5" s="2">
        <v>1</v>
      </c>
      <c r="E5" s="14">
        <v>4381.79</v>
      </c>
      <c r="F5" s="1">
        <f t="shared" si="0"/>
        <v>4381.79</v>
      </c>
      <c r="G5" s="1" t="s">
        <v>7</v>
      </c>
      <c r="H5" s="2"/>
      <c r="I5" s="7"/>
      <c r="J5" s="15"/>
    </row>
    <row r="6" spans="1:10" x14ac:dyDescent="0.25">
      <c r="A6" s="9"/>
      <c r="B6" s="1" t="s">
        <v>26</v>
      </c>
      <c r="C6" s="1" t="s">
        <v>29</v>
      </c>
      <c r="D6" s="2">
        <v>6</v>
      </c>
      <c r="E6" s="12">
        <v>1942.67</v>
      </c>
      <c r="F6" s="1">
        <f t="shared" si="0"/>
        <v>11656.02</v>
      </c>
      <c r="G6" s="1" t="s">
        <v>7</v>
      </c>
      <c r="H6" s="2"/>
      <c r="I6" s="7"/>
      <c r="J6" s="15"/>
    </row>
    <row r="7" spans="1:10" x14ac:dyDescent="0.25">
      <c r="A7" s="9"/>
      <c r="B7" s="1" t="s">
        <v>22</v>
      </c>
      <c r="C7" s="1" t="s">
        <v>23</v>
      </c>
      <c r="D7" s="2">
        <v>7</v>
      </c>
      <c r="E7" s="12">
        <v>33.700000000000003</v>
      </c>
      <c r="F7" s="1">
        <f t="shared" si="0"/>
        <v>235.90000000000003</v>
      </c>
      <c r="G7" s="1" t="s">
        <v>7</v>
      </c>
      <c r="H7" s="4">
        <f>(F3+F4+F7+F5+F6)</f>
        <v>23290.639999999999</v>
      </c>
      <c r="I7" s="7" t="s">
        <v>7</v>
      </c>
      <c r="J7" s="15"/>
    </row>
    <row r="8" spans="1:10" x14ac:dyDescent="0.25">
      <c r="A8" s="3"/>
      <c r="B8" s="3"/>
      <c r="C8" s="3"/>
      <c r="D8" s="3"/>
      <c r="E8" s="13"/>
      <c r="F8" s="3"/>
      <c r="G8" s="1"/>
      <c r="H8" s="1"/>
      <c r="I8" s="7"/>
      <c r="J8" s="15"/>
    </row>
    <row r="9" spans="1:10" x14ac:dyDescent="0.25">
      <c r="A9" s="10" t="s">
        <v>27</v>
      </c>
      <c r="B9" s="1" t="s">
        <v>9</v>
      </c>
      <c r="C9" s="1" t="s">
        <v>11</v>
      </c>
      <c r="D9" s="2">
        <v>6</v>
      </c>
      <c r="E9" s="12">
        <v>168.69</v>
      </c>
      <c r="F9" s="1">
        <f t="shared" ref="F9:F19" si="1">(E9*D9)</f>
        <v>1012.14</v>
      </c>
      <c r="G9" s="1" t="s">
        <v>7</v>
      </c>
      <c r="H9" s="1"/>
      <c r="I9" s="7"/>
      <c r="J9" s="16"/>
    </row>
    <row r="10" spans="1:10" ht="31.5" x14ac:dyDescent="0.25">
      <c r="A10" s="10"/>
      <c r="B10" s="1" t="s">
        <v>10</v>
      </c>
      <c r="C10" s="8" t="s">
        <v>34</v>
      </c>
      <c r="D10" s="2">
        <v>18</v>
      </c>
      <c r="E10" s="12">
        <v>18.39</v>
      </c>
      <c r="F10" s="1">
        <f t="shared" si="1"/>
        <v>331.02</v>
      </c>
      <c r="G10" s="1" t="s">
        <v>7</v>
      </c>
      <c r="H10" s="1"/>
      <c r="J10" s="16"/>
    </row>
    <row r="11" spans="1:10" x14ac:dyDescent="0.25">
      <c r="A11" s="10"/>
      <c r="B11" s="1" t="s">
        <v>12</v>
      </c>
      <c r="C11" s="1" t="s">
        <v>41</v>
      </c>
      <c r="D11" s="2">
        <v>5</v>
      </c>
      <c r="E11" s="12">
        <v>63</v>
      </c>
      <c r="F11" s="1">
        <f t="shared" si="1"/>
        <v>315</v>
      </c>
      <c r="G11" s="1" t="s">
        <v>7</v>
      </c>
      <c r="H11" s="1"/>
      <c r="J11" s="16"/>
    </row>
    <row r="12" spans="1:10" ht="31.5" x14ac:dyDescent="0.25">
      <c r="A12" s="10"/>
      <c r="B12" s="1" t="s">
        <v>14</v>
      </c>
      <c r="C12" s="8" t="s">
        <v>35</v>
      </c>
      <c r="D12" s="2">
        <v>1</v>
      </c>
      <c r="E12" s="12">
        <v>17.45</v>
      </c>
      <c r="F12" s="1">
        <f t="shared" si="1"/>
        <v>17.45</v>
      </c>
      <c r="G12" s="1" t="s">
        <v>7</v>
      </c>
      <c r="H12" s="1"/>
      <c r="J12" s="16"/>
    </row>
    <row r="13" spans="1:10" x14ac:dyDescent="0.25">
      <c r="A13" s="10"/>
      <c r="B13" s="1" t="s">
        <v>15</v>
      </c>
      <c r="C13" s="1" t="s">
        <v>36</v>
      </c>
      <c r="D13" s="2">
        <v>1</v>
      </c>
      <c r="E13" s="12">
        <v>525</v>
      </c>
      <c r="F13" s="1">
        <f t="shared" si="1"/>
        <v>525</v>
      </c>
      <c r="G13" s="1" t="s">
        <v>7</v>
      </c>
      <c r="H13" s="1"/>
      <c r="J13" s="16"/>
    </row>
    <row r="14" spans="1:10" ht="31.5" x14ac:dyDescent="0.25">
      <c r="A14" s="10"/>
      <c r="B14" s="1" t="s">
        <v>16</v>
      </c>
      <c r="C14" s="8" t="s">
        <v>37</v>
      </c>
      <c r="D14" s="2">
        <v>4</v>
      </c>
      <c r="E14" s="12">
        <v>27.39</v>
      </c>
      <c r="F14" s="1">
        <f t="shared" si="1"/>
        <v>109.56</v>
      </c>
      <c r="G14" s="1" t="s">
        <v>7</v>
      </c>
      <c r="H14" s="1"/>
      <c r="J14" s="16"/>
    </row>
    <row r="15" spans="1:10" x14ac:dyDescent="0.25">
      <c r="A15" s="10"/>
      <c r="B15" s="1" t="s">
        <v>17</v>
      </c>
      <c r="C15" s="1" t="s">
        <v>38</v>
      </c>
      <c r="D15" s="2">
        <v>7</v>
      </c>
      <c r="E15" s="12">
        <v>94</v>
      </c>
      <c r="F15" s="1">
        <f t="shared" si="1"/>
        <v>658</v>
      </c>
      <c r="G15" s="1" t="s">
        <v>7</v>
      </c>
      <c r="H15" s="1"/>
      <c r="J15" s="16"/>
    </row>
    <row r="16" spans="1:10" x14ac:dyDescent="0.25">
      <c r="A16" s="10"/>
      <c r="B16" s="1" t="s">
        <v>18</v>
      </c>
      <c r="C16" s="1" t="s">
        <v>33</v>
      </c>
      <c r="D16" s="2">
        <v>12</v>
      </c>
      <c r="E16" s="12">
        <v>13</v>
      </c>
      <c r="F16" s="1">
        <f t="shared" si="1"/>
        <v>156</v>
      </c>
      <c r="G16" s="1" t="s">
        <v>7</v>
      </c>
      <c r="H16" s="1"/>
      <c r="J16" s="16"/>
    </row>
    <row r="17" spans="1:10" x14ac:dyDescent="0.25">
      <c r="A17" s="10"/>
      <c r="B17" s="1" t="s">
        <v>19</v>
      </c>
      <c r="C17" s="1" t="s">
        <v>20</v>
      </c>
      <c r="D17" s="2">
        <v>6</v>
      </c>
      <c r="E17" s="12">
        <v>304.99</v>
      </c>
      <c r="F17" s="1">
        <f t="shared" si="1"/>
        <v>1829.94</v>
      </c>
      <c r="G17" s="1" t="s">
        <v>7</v>
      </c>
      <c r="H17" s="1"/>
      <c r="J17" s="16"/>
    </row>
    <row r="18" spans="1:10" x14ac:dyDescent="0.25">
      <c r="A18" s="10"/>
      <c r="B18" s="1" t="s">
        <v>21</v>
      </c>
      <c r="C18" s="1" t="s">
        <v>32</v>
      </c>
      <c r="D18" s="2">
        <v>1</v>
      </c>
      <c r="E18" s="12">
        <v>218.76</v>
      </c>
      <c r="F18" s="1">
        <f t="shared" si="1"/>
        <v>218.76</v>
      </c>
      <c r="G18" s="1" t="s">
        <v>7</v>
      </c>
      <c r="H18" s="2" t="s">
        <v>28</v>
      </c>
      <c r="J18" s="16"/>
    </row>
    <row r="19" spans="1:10" x14ac:dyDescent="0.25">
      <c r="A19" s="10"/>
      <c r="B19" s="1" t="s">
        <v>24</v>
      </c>
      <c r="C19" s="1" t="s">
        <v>25</v>
      </c>
      <c r="D19" s="2">
        <v>12</v>
      </c>
      <c r="E19" s="12">
        <v>3.15</v>
      </c>
      <c r="F19" s="1">
        <f t="shared" si="1"/>
        <v>37.799999999999997</v>
      </c>
      <c r="G19" s="1" t="s">
        <v>7</v>
      </c>
      <c r="H19" s="1">
        <f>(F9+F10+F11+F12+F13+F14+F15+F16+F17+F18+F19)</f>
        <v>5210.67</v>
      </c>
      <c r="I19" t="s">
        <v>7</v>
      </c>
      <c r="J19" s="16"/>
    </row>
    <row r="20" spans="1:10" x14ac:dyDescent="0.25">
      <c r="F20" s="1">
        <f>(F3+F4+F5+F6+F7+F9+F10+F11+F12+F13+F14+F15+F16+F17+F18+F19)</f>
        <v>28501.31</v>
      </c>
      <c r="G20" s="1" t="s">
        <v>7</v>
      </c>
    </row>
  </sheetData>
  <mergeCells count="2">
    <mergeCell ref="A3:A7"/>
    <mergeCell ref="A9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Martim Oliveira Jardim Freitas</cp:lastModifiedBy>
  <dcterms:created xsi:type="dcterms:W3CDTF">2022-06-16T20:37:26Z</dcterms:created>
  <dcterms:modified xsi:type="dcterms:W3CDTF">2024-05-16T15:54:11Z</dcterms:modified>
</cp:coreProperties>
</file>